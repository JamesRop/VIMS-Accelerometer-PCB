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guy\New Downloads\"/>
    </mc:Choice>
  </mc:AlternateContent>
  <xr:revisionPtr revIDLastSave="0" documentId="13_ncr:1_{413603B5-E080-4E3A-B4B6-93CAD268603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9" i="1"/>
  <c r="G16" i="1"/>
  <c r="G13" i="1"/>
  <c r="G15" i="1"/>
  <c r="G14" i="1" l="1"/>
  <c r="G12" i="1"/>
  <c r="G11" i="1"/>
  <c r="G10" i="1"/>
  <c r="G9" i="1"/>
  <c r="G8" i="1"/>
  <c r="G7" i="1"/>
  <c r="G6" i="1"/>
  <c r="G5" i="1"/>
  <c r="G22" i="1"/>
  <c r="G3" i="1"/>
  <c r="G4" i="1"/>
  <c r="G2" i="1"/>
  <c r="G20" i="1" l="1"/>
  <c r="G23" i="1" s="1"/>
</calcChain>
</file>

<file path=xl/sharedStrings.xml><?xml version="1.0" encoding="utf-8"?>
<sst xmlns="http://schemas.openxmlformats.org/spreadsheetml/2006/main" count="115" uniqueCount="100">
  <si>
    <t>Part Description</t>
  </si>
  <si>
    <t>Manufacter</t>
  </si>
  <si>
    <t>MFR Part Number</t>
  </si>
  <si>
    <t>Digikey Part Number</t>
  </si>
  <si>
    <t>Quantity</t>
  </si>
  <si>
    <t>Unit Price</t>
  </si>
  <si>
    <t>Extended Price</t>
  </si>
  <si>
    <t>Purchase Link</t>
  </si>
  <si>
    <t>Digikey Link</t>
  </si>
  <si>
    <t>Additional Notes</t>
  </si>
  <si>
    <t>Swan v3.0 Microcontroller Board</t>
  </si>
  <si>
    <t>blues</t>
  </si>
  <si>
    <t>N/A</t>
  </si>
  <si>
    <t>https://shop.blues.com/collections/feather-mcu/products/swan?variant=42363354120433</t>
  </si>
  <si>
    <t>Already purchased, not available on digikey</t>
  </si>
  <si>
    <t>6DOF IMU icm42688 Accelerometer</t>
  </si>
  <si>
    <t>Sysrox</t>
  </si>
  <si>
    <t>CQL240617P</t>
  </si>
  <si>
    <t>https://www.elecrow.com/sysrox-imu-6dof-accelerometer-gyroscope-icm42688-spi-nano-sensor.html?srsltid=AfmBOoqnhoZGJSg1JoxTZI15fQZQbOSbJ2koA2a-B6XGxFEHSXBTcxhG</t>
  </si>
  <si>
    <t>DS3231 Precision RTC Breakout</t>
  </si>
  <si>
    <t>Adafruit</t>
  </si>
  <si>
    <t>1528-3013-ND</t>
  </si>
  <si>
    <t>https://www.adafruit.com/product/3013</t>
  </si>
  <si>
    <t>https://www.digikey.com/en/products/detail/adafruit-industries-llc/3013/5875808</t>
  </si>
  <si>
    <t>Already purchased</t>
  </si>
  <si>
    <t>JST</t>
  </si>
  <si>
    <t>https://www.adafruit.com/product/1769#technical-details</t>
  </si>
  <si>
    <t>Hard to find info on this one, might want to find another solution</t>
  </si>
  <si>
    <t>Capacitor (Bulk) MLCC 100μF 10V X5R 1206</t>
  </si>
  <si>
    <t>Murata Electronics</t>
  </si>
  <si>
    <t>GRM31CR61A107MEA8K</t>
  </si>
  <si>
    <t>490-GRM31CR61A107MEA8KCT-ND</t>
  </si>
  <si>
    <t>https://www.digikey.com/en/products/detail/murata-electronics/GRM31CR61A107MEA8K/16286003</t>
  </si>
  <si>
    <t>DIODE SCHOTTKY 20V 1A SOD123FL</t>
  </si>
  <si>
    <t>onsemi</t>
  </si>
  <si>
    <t>MBR120LSFT1G</t>
  </si>
  <si>
    <t>MBR120LSFT1GOSCT-ND</t>
  </si>
  <si>
    <t>https://www.digikey.com/en/products/detail/onsemi/MBR120LSFT1G/1748986</t>
  </si>
  <si>
    <t>Shottky Rectifier reverse current protection diode</t>
  </si>
  <si>
    <t xml:space="preserve">Subtotal: </t>
  </si>
  <si>
    <t>Unpurchased</t>
  </si>
  <si>
    <t>2 Layer Prototype Service</t>
  </si>
  <si>
    <t>OSHPARK</t>
  </si>
  <si>
    <t>Size (in^2)</t>
  </si>
  <si>
    <t>$5/in^2</t>
  </si>
  <si>
    <t xml:space="preserve">https://docs.oshpark.com/services/two-layer/ </t>
  </si>
  <si>
    <t>Total</t>
  </si>
  <si>
    <t>Voltage Regulator - 1.5A, 28V Input, 5V Output TO-220 Power Module</t>
  </si>
  <si>
    <t>Texas Instruments</t>
  </si>
  <si>
    <t>TPSM84205</t>
  </si>
  <si>
    <t>https://www.ti.com/product/TPSM84205?utm_source=google&amp;utm_medium=cpc&amp;utm_campaign=app-null-null-GPN_EN-cpc-pf-google-ww_en_cons&amp;utm_content=TPSM84205&amp;ds_k=TPSM84205&amp;DCM=yes&amp;gclsrc=aw.ds&amp;gad_source=1&amp;gad_campaignid=1767856010&amp;gbraid=0AAAAAC068F2pyKRo5bmQjQmTNVRx2vzT_&amp;gclid=Cj0KCQjw2MbPBhCSARIsAP3jP9yyho7CKy7WOiqmM1UiTofgcGmVp5w2xwmk4FAGmcG6icINQAVYSlAaAp-VEALw_wcB#product-details</t>
  </si>
  <si>
    <t>already purchased?</t>
  </si>
  <si>
    <t>https://www.digikey.com/en/products/detail/samsung-electro-mechanics/CL21B104KACNNNC/3886757</t>
  </si>
  <si>
    <t>Samsung Electro-Mechanics</t>
  </si>
  <si>
    <t>CL21B104KACNNNC</t>
  </si>
  <si>
    <t>1276-1099-1-ND</t>
  </si>
  <si>
    <t>Capacitor (Decoupling) MLCC 100nF 25V X7R</t>
  </si>
  <si>
    <t>https://www.amazon.com/gp/product/B076PDVFQD/</t>
  </si>
  <si>
    <t>Diymall 0.96" Inch I2c IIC Serial 128x64 Oled LCD LED White Display Module (GND on Pin 1)</t>
  </si>
  <si>
    <t>IZOKEE</t>
  </si>
  <si>
    <t>IZKE31-IIC-WH-3</t>
  </si>
  <si>
    <t>Batteries - stack 2 3.6 V in series to get 7.2, it will get modulated to 5V by the Voltage Reg and then we can use it for the MicroSD</t>
  </si>
  <si>
    <t>~3.07x2.4 = 7.4</t>
  </si>
  <si>
    <t>Capacitor (external input) 10uF 50V X5R</t>
  </si>
  <si>
    <t>Walsin Technology Corporation</t>
  </si>
  <si>
    <t>1206X106K500CT</t>
  </si>
  <si>
    <t>1292-1206X106K500CT-ND</t>
  </si>
  <si>
    <t>https://www.digikey.com/en/products/detail/walsin-technology-corporation/1206X106K500CT/17808791</t>
  </si>
  <si>
    <t>MicroSD Card Socket</t>
  </si>
  <si>
    <t>Molex</t>
  </si>
  <si>
    <t>WM11190CT-ND</t>
  </si>
  <si>
    <t>https://www.digikey.com/en/products/detail/molex/5033981892/4555393</t>
  </si>
  <si>
    <t>Yageo</t>
  </si>
  <si>
    <t>S2B-PH-SM4-TB</t>
  </si>
  <si>
    <t>https://www.digikey.com/en/products/detail/jst-sales-america-inc/S2B-PH-SM4-TB/926655</t>
  </si>
  <si>
    <t>455-S2B-PH-SM4-TBCT-ND</t>
  </si>
  <si>
    <t>https://www.digikey.com/en/products/detail/jst-sales-america-inc/PHR-2/608607</t>
  </si>
  <si>
    <t>JST PH 2-Pin SMT Right Angle Connector</t>
  </si>
  <si>
    <t>JST-PH 2-Pin male connector /female pins</t>
  </si>
  <si>
    <t>455-1165-ND</t>
  </si>
  <si>
    <t>PHR-2</t>
  </si>
  <si>
    <t>Sullins Connector Solutions</t>
  </si>
  <si>
    <t>CONN HDR 4POS 0.1 TIN SMD</t>
  </si>
  <si>
    <t>NPTC041KFXC-RC</t>
  </si>
  <si>
    <t>S5596-ND</t>
  </si>
  <si>
    <t>https://www.digikey.com/en/products/detail/sullins-connector-solutions/NPTC041KFXC-RC/776054</t>
  </si>
  <si>
    <t>2315-SBF32202ASTPCT-ND</t>
  </si>
  <si>
    <t>Kamaya Inc.</t>
  </si>
  <si>
    <t>SBF32202ASTP</t>
  </si>
  <si>
    <t>FUSE CHIP 2A 63VDC 1206</t>
  </si>
  <si>
    <t>https://www.digikey.com/en/products/detail/kamaya-inc/SBF32202ASTP/15181240</t>
  </si>
  <si>
    <t>Tactile Switch SPST-NO Top Actuated Surface Mount</t>
  </si>
  <si>
    <t>Same Sky (Formerly CUI Devices)</t>
  </si>
  <si>
    <t>TS04-66-43-BK-260-SMT</t>
  </si>
  <si>
    <t>2223-TS04-66-43-BK-260-SMT-ND</t>
  </si>
  <si>
    <t>https://www.digikey.com/en/products/detail/same-sky-formerly-cui-devices-/TS04-66-43-BK-260-SMT/15634271?gclsrc=aw.ds&amp;gad_source=1&amp;gad_campaignid=20243136172&amp;gbraid=0AAAAADrbLlgNZPd9mGWIN23T4v4hQaimo&amp;gclid=CjwKCAjwxITRBhBYEiwA6mZm7XXHRlZ7B4iS8uxiXAc_mfLRorsd6CdeZ8a5MGYDofd54wN73_n2DBoCCGsQAvD_BwE</t>
  </si>
  <si>
    <t>RES 100K OHM 1% 1/8W 0805</t>
  </si>
  <si>
    <t>RC0805FR-07100KL</t>
  </si>
  <si>
    <t>311-100KCRCT-ND</t>
  </si>
  <si>
    <t>https://www.digikey.com/en/products/detail/yageo/RC0805FR-07100KL/727544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</si>
</sst>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8" fontId="0" fillId="0" borderId="0" xfId="0" applyNumberFormat="1"/>
    <xf numFmtId="0" fontId="1" fillId="0" borderId="0" xfId="1"/>
    <xf numFmtId="0" fontId="4" fillId="0" borderId="0" xfId="0" applyFont="1"/>
    <xf numFmtId="0" fontId="5" fillId="0" borderId="0" xfId="0" applyFont="1"/>
    <xf numFmtId="8" fontId="5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adafruit.com/product/3013" TargetMode="External"/><Relationship Id="rId7" Type="http://schemas.openxmlformats.org/officeDocument/2006/relationships/hyperlink" Target="https://www.amazon.com/gp/product/B076PDVFQD/" TargetMode="External"/><Relationship Id="rId2" Type="http://schemas.openxmlformats.org/officeDocument/2006/relationships/hyperlink" Target="https://www.elecrow.com/sysrox-imu-6dof-accelerometer-gyroscope-icm42688-spi-nano-sensor.html?srsltid=AfmBOoqnhoZGJSg1JoxTZI15fQZQbOSbJ2koA2a-B6XGxFEHSXBTcxhG" TargetMode="External"/><Relationship Id="rId1" Type="http://schemas.openxmlformats.org/officeDocument/2006/relationships/hyperlink" Target="https://shop.blues.com/collections/feather-mcu/products/swan?variant=42363354120433" TargetMode="External"/><Relationship Id="rId6" Type="http://schemas.openxmlformats.org/officeDocument/2006/relationships/hyperlink" Target="https://www.adafruit.com/product/1769" TargetMode="External"/><Relationship Id="rId5" Type="http://schemas.openxmlformats.org/officeDocument/2006/relationships/hyperlink" Target="https://docs.oshpark.com/services/two-layer/" TargetMode="External"/><Relationship Id="rId4" Type="http://schemas.openxmlformats.org/officeDocument/2006/relationships/hyperlink" Target="https://www.digikey.com/en/products/detail/adafruit-industries-llc/3013/58758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H18" sqref="H18"/>
    </sheetView>
  </sheetViews>
  <sheetFormatPr defaultRowHeight="14.5" x14ac:dyDescent="0.35"/>
  <cols>
    <col min="1" max="1" width="39.26953125" customWidth="1"/>
    <col min="2" max="3" width="17.54296875" customWidth="1"/>
    <col min="4" max="4" width="19.1796875" customWidth="1"/>
    <col min="5" max="5" width="10.7265625" customWidth="1"/>
    <col min="6" max="6" width="15" customWidth="1"/>
    <col min="7" max="7" width="14.26953125" customWidth="1"/>
    <col min="8" max="8" width="12.81640625" customWidth="1"/>
    <col min="9" max="9" width="10.7265625" customWidth="1"/>
  </cols>
  <sheetData>
    <row r="1" spans="1:10" x14ac:dyDescent="0.35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12</v>
      </c>
      <c r="E2">
        <v>1</v>
      </c>
      <c r="F2" s="3">
        <v>24.95</v>
      </c>
      <c r="G2" s="3">
        <f t="shared" ref="G2:G4" si="0">E2*F2</f>
        <v>24.95</v>
      </c>
      <c r="H2" s="4" t="s">
        <v>13</v>
      </c>
      <c r="I2" t="s">
        <v>12</v>
      </c>
      <c r="J2" t="s">
        <v>14</v>
      </c>
    </row>
    <row r="3" spans="1:10" x14ac:dyDescent="0.35">
      <c r="A3" t="s">
        <v>15</v>
      </c>
      <c r="B3" t="s">
        <v>16</v>
      </c>
      <c r="C3" t="s">
        <v>17</v>
      </c>
      <c r="D3" t="s">
        <v>12</v>
      </c>
      <c r="E3">
        <v>1</v>
      </c>
      <c r="F3" s="3">
        <v>11.99</v>
      </c>
      <c r="G3" s="3">
        <f t="shared" si="0"/>
        <v>11.99</v>
      </c>
      <c r="H3" s="4" t="s">
        <v>18</v>
      </c>
      <c r="I3" t="s">
        <v>12</v>
      </c>
      <c r="J3" t="s">
        <v>14</v>
      </c>
    </row>
    <row r="4" spans="1:10" x14ac:dyDescent="0.35">
      <c r="A4" t="s">
        <v>19</v>
      </c>
      <c r="B4" t="s">
        <v>20</v>
      </c>
      <c r="C4">
        <v>3013</v>
      </c>
      <c r="D4" t="s">
        <v>21</v>
      </c>
      <c r="E4">
        <v>1</v>
      </c>
      <c r="F4" s="3">
        <v>17.5</v>
      </c>
      <c r="G4" s="3">
        <f t="shared" si="0"/>
        <v>17.5</v>
      </c>
      <c r="H4" s="4" t="s">
        <v>22</v>
      </c>
      <c r="I4" s="4" t="s">
        <v>23</v>
      </c>
      <c r="J4" t="s">
        <v>24</v>
      </c>
    </row>
    <row r="5" spans="1:10" x14ac:dyDescent="0.35">
      <c r="A5" s="6" t="s">
        <v>47</v>
      </c>
      <c r="B5" s="6" t="s">
        <v>48</v>
      </c>
      <c r="C5" s="6" t="s">
        <v>49</v>
      </c>
      <c r="D5" s="6" t="s">
        <v>12</v>
      </c>
      <c r="E5" s="6">
        <v>1</v>
      </c>
      <c r="F5" s="3">
        <v>3.105</v>
      </c>
      <c r="G5" s="3">
        <f>E5*F5</f>
        <v>3.105</v>
      </c>
      <c r="H5" t="s">
        <v>50</v>
      </c>
      <c r="I5" t="s">
        <v>12</v>
      </c>
      <c r="J5" t="s">
        <v>51</v>
      </c>
    </row>
    <row r="6" spans="1:10" x14ac:dyDescent="0.35">
      <c r="A6" t="s">
        <v>77</v>
      </c>
      <c r="B6" t="s">
        <v>25</v>
      </c>
      <c r="C6" t="s">
        <v>73</v>
      </c>
      <c r="D6" t="s">
        <v>75</v>
      </c>
      <c r="E6">
        <v>1</v>
      </c>
      <c r="F6" s="3">
        <v>0.49</v>
      </c>
      <c r="G6" s="3">
        <f t="shared" ref="G6" si="1">E6*F6</f>
        <v>0.49</v>
      </c>
      <c r="H6" s="4" t="s">
        <v>26</v>
      </c>
      <c r="I6" t="s">
        <v>74</v>
      </c>
      <c r="J6" s="5" t="s">
        <v>27</v>
      </c>
    </row>
    <row r="7" spans="1:10" x14ac:dyDescent="0.35">
      <c r="A7" t="s">
        <v>78</v>
      </c>
      <c r="B7" t="s">
        <v>25</v>
      </c>
      <c r="C7" t="s">
        <v>80</v>
      </c>
      <c r="D7" t="s">
        <v>79</v>
      </c>
      <c r="E7">
        <v>1</v>
      </c>
      <c r="F7" s="3">
        <v>0.1</v>
      </c>
      <c r="G7" s="3">
        <f>E7*F7</f>
        <v>0.1</v>
      </c>
      <c r="I7" t="s">
        <v>76</v>
      </c>
      <c r="J7" t="s">
        <v>27</v>
      </c>
    </row>
    <row r="8" spans="1:10" x14ac:dyDescent="0.35">
      <c r="A8" t="s">
        <v>28</v>
      </c>
      <c r="B8" t="s">
        <v>29</v>
      </c>
      <c r="C8" t="s">
        <v>30</v>
      </c>
      <c r="D8" t="s">
        <v>31</v>
      </c>
      <c r="E8">
        <v>1</v>
      </c>
      <c r="F8" s="3">
        <v>0.49</v>
      </c>
      <c r="G8" s="3">
        <f>E8*F8</f>
        <v>0.49</v>
      </c>
      <c r="H8" t="s">
        <v>12</v>
      </c>
      <c r="I8" s="4" t="s">
        <v>32</v>
      </c>
    </row>
    <row r="9" spans="1:10" x14ac:dyDescent="0.35">
      <c r="A9" t="s">
        <v>33</v>
      </c>
      <c r="B9" t="s">
        <v>34</v>
      </c>
      <c r="C9" t="s">
        <v>35</v>
      </c>
      <c r="D9" t="s">
        <v>36</v>
      </c>
      <c r="E9">
        <v>1</v>
      </c>
      <c r="F9" s="3">
        <v>0.61</v>
      </c>
      <c r="G9" s="3">
        <f t="shared" ref="G9:G13" si="2">E9*F9</f>
        <v>0.61</v>
      </c>
      <c r="H9" t="s">
        <v>12</v>
      </c>
      <c r="I9" s="4" t="s">
        <v>37</v>
      </c>
      <c r="J9" t="s">
        <v>38</v>
      </c>
    </row>
    <row r="10" spans="1:10" x14ac:dyDescent="0.35">
      <c r="A10" t="s">
        <v>63</v>
      </c>
      <c r="B10" t="s">
        <v>64</v>
      </c>
      <c r="C10" t="s">
        <v>65</v>
      </c>
      <c r="D10" t="s">
        <v>66</v>
      </c>
      <c r="E10">
        <v>1</v>
      </c>
      <c r="F10" s="3">
        <v>0.19</v>
      </c>
      <c r="G10" s="3">
        <f t="shared" si="2"/>
        <v>0.19</v>
      </c>
      <c r="H10" t="s">
        <v>12</v>
      </c>
      <c r="I10" t="s">
        <v>67</v>
      </c>
    </row>
    <row r="11" spans="1:10" x14ac:dyDescent="0.35">
      <c r="A11" s="6" t="s">
        <v>56</v>
      </c>
      <c r="B11" s="6" t="s">
        <v>53</v>
      </c>
      <c r="C11" s="6" t="s">
        <v>54</v>
      </c>
      <c r="D11" s="6" t="s">
        <v>55</v>
      </c>
      <c r="E11" s="6">
        <v>4</v>
      </c>
      <c r="F11" s="7">
        <v>0.1</v>
      </c>
      <c r="G11" s="3">
        <f t="shared" si="2"/>
        <v>0.4</v>
      </c>
      <c r="H11" s="6" t="s">
        <v>12</v>
      </c>
      <c r="I11" s="4" t="s">
        <v>52</v>
      </c>
    </row>
    <row r="12" spans="1:10" x14ac:dyDescent="0.35">
      <c r="A12" t="s">
        <v>58</v>
      </c>
      <c r="B12" t="s">
        <v>59</v>
      </c>
      <c r="C12" t="s">
        <v>60</v>
      </c>
      <c r="D12" t="s">
        <v>12</v>
      </c>
      <c r="E12">
        <v>1</v>
      </c>
      <c r="F12" s="3">
        <v>11.99</v>
      </c>
      <c r="G12" s="3">
        <f t="shared" si="2"/>
        <v>11.99</v>
      </c>
      <c r="H12" s="4" t="s">
        <v>57</v>
      </c>
      <c r="I12" t="s">
        <v>12</v>
      </c>
    </row>
    <row r="13" spans="1:10" x14ac:dyDescent="0.35">
      <c r="A13" t="s">
        <v>82</v>
      </c>
      <c r="B13" t="s">
        <v>81</v>
      </c>
      <c r="C13" t="s">
        <v>83</v>
      </c>
      <c r="D13" t="s">
        <v>84</v>
      </c>
      <c r="E13">
        <v>1</v>
      </c>
      <c r="F13" s="3">
        <v>0.65</v>
      </c>
      <c r="G13" s="3">
        <f t="shared" si="2"/>
        <v>0.65</v>
      </c>
      <c r="I13" t="s">
        <v>85</v>
      </c>
    </row>
    <row r="14" spans="1:10" x14ac:dyDescent="0.35">
      <c r="A14" t="s">
        <v>68</v>
      </c>
      <c r="B14" t="s">
        <v>69</v>
      </c>
      <c r="C14">
        <v>5033981892</v>
      </c>
      <c r="D14" t="s">
        <v>70</v>
      </c>
      <c r="E14">
        <v>1</v>
      </c>
      <c r="F14" s="3">
        <v>2.62</v>
      </c>
      <c r="G14" s="3">
        <f>E14*F14</f>
        <v>2.62</v>
      </c>
      <c r="I14" t="s">
        <v>71</v>
      </c>
    </row>
    <row r="15" spans="1:10" x14ac:dyDescent="0.35">
      <c r="A15" t="s">
        <v>96</v>
      </c>
      <c r="B15" t="s">
        <v>72</v>
      </c>
      <c r="C15" t="s">
        <v>97</v>
      </c>
      <c r="D15" t="s">
        <v>98</v>
      </c>
      <c r="E15">
        <v>2</v>
      </c>
      <c r="F15" s="3">
        <v>0.1</v>
      </c>
      <c r="G15" s="3">
        <f>E15*F15</f>
        <v>0.2</v>
      </c>
      <c r="I15" t="s">
        <v>99</v>
      </c>
    </row>
    <row r="16" spans="1:10" x14ac:dyDescent="0.35">
      <c r="A16" t="s">
        <v>89</v>
      </c>
      <c r="B16" t="s">
        <v>87</v>
      </c>
      <c r="C16" t="s">
        <v>88</v>
      </c>
      <c r="D16" t="s">
        <v>86</v>
      </c>
      <c r="E16">
        <v>1</v>
      </c>
      <c r="F16" s="3">
        <v>0.28000000000000003</v>
      </c>
      <c r="G16" s="3">
        <f>E16*F16</f>
        <v>0.28000000000000003</v>
      </c>
      <c r="I16" t="s">
        <v>90</v>
      </c>
    </row>
    <row r="17" spans="1:9" x14ac:dyDescent="0.35">
      <c r="A17" t="s">
        <v>91</v>
      </c>
      <c r="B17" t="s">
        <v>92</v>
      </c>
      <c r="C17" t="s">
        <v>93</v>
      </c>
      <c r="D17" t="s">
        <v>94</v>
      </c>
      <c r="E17">
        <v>2</v>
      </c>
      <c r="F17" s="3">
        <v>0.2</v>
      </c>
      <c r="G17" s="3">
        <f>E17*F17</f>
        <v>0.4</v>
      </c>
      <c r="I17" t="s">
        <v>95</v>
      </c>
    </row>
    <row r="18" spans="1:9" x14ac:dyDescent="0.35">
      <c r="A18" t="s">
        <v>61</v>
      </c>
    </row>
    <row r="19" spans="1:9" x14ac:dyDescent="0.35">
      <c r="F19" t="s">
        <v>39</v>
      </c>
      <c r="G19" s="3">
        <f>SUM(G2:G17)</f>
        <v>75.965000000000018</v>
      </c>
    </row>
    <row r="20" spans="1:9" x14ac:dyDescent="0.35">
      <c r="F20" t="s">
        <v>40</v>
      </c>
      <c r="G20" s="3">
        <f>SUM(G6:G15)</f>
        <v>17.739999999999998</v>
      </c>
    </row>
    <row r="21" spans="1:9" x14ac:dyDescent="0.35">
      <c r="E21" t="s">
        <v>43</v>
      </c>
      <c r="G21" s="3"/>
    </row>
    <row r="22" spans="1:9" x14ac:dyDescent="0.35">
      <c r="A22" t="s">
        <v>41</v>
      </c>
      <c r="B22" t="s">
        <v>42</v>
      </c>
      <c r="E22" t="s">
        <v>62</v>
      </c>
      <c r="F22" t="s">
        <v>44</v>
      </c>
      <c r="G22" s="3">
        <f>5*7.4</f>
        <v>37</v>
      </c>
      <c r="H22" s="4" t="s">
        <v>45</v>
      </c>
    </row>
    <row r="23" spans="1:9" x14ac:dyDescent="0.35">
      <c r="F23" t="s">
        <v>46</v>
      </c>
      <c r="G23" s="3">
        <f>G20+G22</f>
        <v>54.739999999999995</v>
      </c>
    </row>
  </sheetData>
  <hyperlinks>
    <hyperlink ref="H2" r:id="rId1" xr:uid="{F3160891-4D1B-47A6-A6E6-F5F8315F07C3}"/>
    <hyperlink ref="H3" r:id="rId2" xr:uid="{2784756E-0EC6-4BC1-B2C1-C7580AEF6D01}"/>
    <hyperlink ref="H4" r:id="rId3" xr:uid="{460AA21F-E8E8-41BA-9AE4-C302019B0ADD}"/>
    <hyperlink ref="I4" r:id="rId4" xr:uid="{0958AB66-BC26-43D3-B4E6-F77147ECE925}"/>
    <hyperlink ref="H22" r:id="rId5" xr:uid="{F00F8E76-9440-41F1-9983-F88FE3FF92F9}"/>
    <hyperlink ref="H6" r:id="rId6" location="technical-details" xr:uid="{2DF40FBC-FC77-4FBB-927F-4F592874E487}"/>
    <hyperlink ref="H12" r:id="rId7" xr:uid="{4611F87B-6738-49CF-BABA-7107C1E2B1D5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James Guymon</cp:lastModifiedBy>
  <cp:revision/>
  <dcterms:created xsi:type="dcterms:W3CDTF">2026-04-14T13:42:29Z</dcterms:created>
  <dcterms:modified xsi:type="dcterms:W3CDTF">2026-06-10T16:25:39Z</dcterms:modified>
  <cp:category/>
  <cp:contentStatus/>
</cp:coreProperties>
</file>